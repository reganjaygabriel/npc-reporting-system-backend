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FFFF"/>
      <sz val="9"/>
    </font>
    <font>
      <i val="1"/>
      <sz val="7"/>
    </font>
    <font>
      <b val="1"/>
      <color rgb="00FF0000"/>
      <sz val="10"/>
    </font>
    <font>
      <b val="1"/>
      <sz val="8"/>
    </font>
  </fonts>
  <fills count="12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9" fillId="8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5" fillId="3" borderId="1" pivotButton="0" quotePrefix="0" xfId="0"/>
    <xf numFmtId="0" fontId="16" fillId="0" borderId="1" pivotButton="0" quotePrefix="0" xfId="0"/>
    <xf numFmtId="0" fontId="22" fillId="8" borderId="1" applyAlignment="1" pivotButton="0" quotePrefix="0" xfId="0">
      <alignment horizontal="center" vertical="center"/>
    </xf>
    <xf numFmtId="0" fontId="25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16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0" fontId="23" fillId="8" borderId="1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2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(2)'!B111</f>
            </strRef>
          </tx>
          <spPr>
            <a:ln>
              <a:prstDash val="solid"/>
            </a:ln>
          </spPr>
          <cat>
            <numRef>
              <f>'PSR PSALM Edit (2)'!$A$112:$A$118</f>
            </numRef>
          </cat>
          <val>
            <numRef>
              <f>'PSR PSALM Edit (2)'!$B$112:$B$118</f>
            </numRef>
          </val>
        </ser>
        <ser>
          <idx val="1"/>
          <order val="1"/>
          <tx>
            <strRef>
              <f>'PSR PSALM Edit (2)'!C111</f>
            </strRef>
          </tx>
          <spPr>
            <a:ln>
              <a:prstDash val="solid"/>
            </a:ln>
          </spPr>
          <cat>
            <numRef>
              <f>'PSR PSALM Edit (2)'!$A$112:$A$118</f>
            </numRef>
          </cat>
          <val>
            <numRef>
              <f>'PSR PSALM Edit (2)'!$C$112:$C$118</f>
            </numRef>
          </val>
        </ser>
        <ser>
          <idx val="2"/>
          <order val="2"/>
          <tx>
            <strRef>
              <f>'PSR PSALM Edit (2)'!D111</f>
            </strRef>
          </tx>
          <spPr>
            <a:ln>
              <a:prstDash val="solid"/>
            </a:ln>
          </spPr>
          <cat>
            <numRef>
              <f>'PSR PSALM Edit (2)'!$A$112:$A$118</f>
            </numRef>
          </cat>
          <val>
            <numRef>
              <f>'PSR PSALM Edit (2)'!$D$112:$D$118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(2)'!B128</f>
            </strRef>
          </tx>
          <spPr>
            <a:ln>
              <a:prstDash val="solid"/>
            </a:ln>
          </spPr>
          <cat>
            <numRef>
              <f>'PSR PSALM Edit (2)'!$A$129:$A$139</f>
            </numRef>
          </cat>
          <val>
            <numRef>
              <f>'PSR PSALM Edit (2)'!$B$129:$B$139</f>
            </numRef>
          </val>
        </ser>
        <ser>
          <idx val="1"/>
          <order val="1"/>
          <tx>
            <strRef>
              <f>'PSR PSALM Edit (2)'!C128</f>
            </strRef>
          </tx>
          <spPr>
            <a:ln>
              <a:prstDash val="solid"/>
            </a:ln>
          </spPr>
          <cat>
            <numRef>
              <f>'PSR PSALM Edit (2)'!$A$129:$A$139</f>
            </numRef>
          </cat>
          <val>
            <numRef>
              <f>'PSR PSALM Edit (2)'!$C$129:$C$139</f>
            </numRef>
          </val>
        </ser>
        <ser>
          <idx val="2"/>
          <order val="2"/>
          <tx>
            <strRef>
              <f>'PSR PSALM Edit (2)'!D128</f>
            </strRef>
          </tx>
          <spPr>
            <a:ln>
              <a:prstDash val="solid"/>
            </a:ln>
          </spPr>
          <cat>
            <numRef>
              <f>'PSR PSALM Edit (2)'!$A$129:$A$139</f>
            </numRef>
          </cat>
          <val>
            <numRef>
              <f>'PSR PSALM Edit (2)'!$D$129:$D$139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112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129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12" customWidth="1" min="28" max="28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8" t="inlineStr">
        <is>
          <t>as of 0800H Thursday, 12 March 2026</t>
        </is>
      </c>
    </row>
    <row r="11" ht="7.5" customHeight="1"/>
    <row r="12" ht="3.75" customHeight="1">
      <c r="A12" s="9" t="inlineStr">
        <is>
          <t> </t>
        </is>
      </c>
    </row>
    <row r="13" ht="18" customHeight="1">
      <c r="A13" s="10" t="inlineStr">
        <is>
          <t>PLANT NAME</t>
        </is>
      </c>
      <c r="B13" s="11" t="inlineStr">
        <is>
          <t>Rated Capacity (MW)</t>
        </is>
      </c>
      <c r="C13" s="12" t="inlineStr">
        <is>
          <t>Nominated</t>
        </is>
      </c>
      <c r="D13" s="11" t="inlineStr">
        <is>
          <t>Available Capacity (MW)</t>
        </is>
      </c>
      <c r="F13" s="11" t="inlineStr">
        <is>
          <t>Lake Lanao Projected Ave. Outflow</t>
        </is>
      </c>
      <c r="G13" s="11" t="inlineStr">
        <is>
          <t xml:space="preserve">Load at 0800H </t>
        </is>
      </c>
      <c r="H13" s="10" t="inlineStr">
        <is>
          <t>REMARKS</t>
        </is>
      </c>
      <c r="P13" s="13" t="inlineStr">
        <is>
          <t>PRIMARY STORAGE OF HYDRO HEPs</t>
        </is>
      </c>
      <c r="AD13" s="14" t="inlineStr">
        <is>
          <t>INPUT From JMM-DCM/CPN</t>
        </is>
      </c>
      <c r="AE13" s="15" t="n"/>
      <c r="AF13" s="15" t="n"/>
      <c r="AG13" s="15" t="n"/>
      <c r="AH13" s="16" t="n"/>
    </row>
    <row r="14" ht="15" customHeight="1">
      <c r="P14" s="17" t="inlineStr">
        <is>
          <t>Lake/Dam</t>
        </is>
      </c>
      <c r="Q14" s="17" t="inlineStr">
        <is>
          <t>Level (m)</t>
        </is>
      </c>
      <c r="R14" s="17" t="inlineStr">
        <is>
          <t>Remarks</t>
        </is>
      </c>
      <c r="AD14" s="18" t="inlineStr">
        <is>
          <t>today Thursday, 12 March 2026</t>
        </is>
      </c>
      <c r="AE14" s="15" t="n"/>
      <c r="AF14" s="15" t="n"/>
      <c r="AG14" s="15" t="n"/>
      <c r="AH14" s="16" t="n"/>
    </row>
    <row r="15" ht="15" customHeight="1">
      <c r="P15" s="19" t="inlineStr">
        <is>
          <t>Lake Lanao</t>
        </is>
      </c>
      <c r="Q15" s="20" t="inlineStr">
        <is>
          <t>701.20</t>
        </is>
      </c>
      <c r="R15" s="20" t="inlineStr">
        <is>
          <t>Normal</t>
        </is>
      </c>
      <c r="AD15" s="21" t="inlineStr">
        <is>
          <t>INPUT 1</t>
        </is>
      </c>
    </row>
    <row r="16" ht="18" customHeight="1">
      <c r="C16" s="22" t="inlineStr">
        <is>
          <t>Capability</t>
        </is>
      </c>
      <c r="P16" s="19" t="inlineStr">
        <is>
          <t>Agus 2 Forebay</t>
        </is>
      </c>
      <c r="Q16" s="20" t="inlineStr">
        <is>
          <t>637.30</t>
        </is>
      </c>
      <c r="R16" s="20" t="inlineStr"/>
      <c r="AD16" s="23" t="inlineStr">
        <is>
          <t>Total load @ 0800H.xls</t>
        </is>
      </c>
      <c r="AF16" s="17" t="inlineStr">
        <is>
          <t>0.00 MW</t>
        </is>
      </c>
    </row>
    <row r="17" ht="23.45" customHeight="1">
      <c r="A17" s="24" t="inlineStr">
        <is>
          <t>AGUS 1</t>
        </is>
      </c>
      <c r="B17" s="2" t="n">
        <v>80</v>
      </c>
      <c r="C17" s="2" t="n">
        <v>0</v>
      </c>
      <c r="D17" s="2" t="n">
        <v>40</v>
      </c>
      <c r="E17" s="22" t="n">
        <v>0</v>
      </c>
      <c r="G17" s="2" t="n">
        <v>0</v>
      </c>
      <c r="H17" s="25" t="inlineStr">
        <is>
          <t>Lake Lanao Elevation is 701.50 m.a.s.l.</t>
        </is>
      </c>
      <c r="P17" s="19" t="inlineStr">
        <is>
          <t>Agus 4 Forebay</t>
        </is>
      </c>
      <c r="Q17" s="20" t="inlineStr">
        <is>
          <t>358.50</t>
        </is>
      </c>
      <c r="R17" s="20" t="inlineStr"/>
      <c r="U17" s="26" t="inlineStr">
        <is>
          <t>GATE#1</t>
        </is>
      </c>
      <c r="V17" s="26" t="inlineStr">
        <is>
          <t>GATE#2</t>
        </is>
      </c>
      <c r="W17" s="26" t="inlineStr">
        <is>
          <t>GATE#3</t>
        </is>
      </c>
      <c r="X17" s="26" t="inlineStr">
        <is>
          <t>GATE#4</t>
        </is>
      </c>
      <c r="Y17" s="26" t="inlineStr">
        <is>
          <t>GATE#5</t>
        </is>
      </c>
      <c r="Z17" s="26" t="inlineStr">
        <is>
          <t>GATE#6</t>
        </is>
      </c>
      <c r="AA17" s="27" t="inlineStr">
        <is>
          <t>ELEVATION</t>
        </is>
      </c>
      <c r="AH17" s="28" t="inlineStr">
        <is>
          <t>AGUS1 Lake Lanao Elevation</t>
        </is>
      </c>
    </row>
    <row r="18" ht="15" customHeight="1">
      <c r="A18" s="29" t="inlineStr">
        <is>
          <t>unit 1</t>
        </is>
      </c>
      <c r="B18" s="30" t="n">
        <v>40</v>
      </c>
      <c r="C18" s="30" t="n">
        <v>0</v>
      </c>
      <c r="D18" s="30" t="n">
        <v>40</v>
      </c>
      <c r="G18" s="29" t="n">
        <v>0</v>
      </c>
      <c r="H18" s="31" t="inlineStr">
        <is>
          <t>STANDBY</t>
        </is>
      </c>
      <c r="P18" s="19" t="inlineStr">
        <is>
          <t>Agus 5 Forebay</t>
        </is>
      </c>
      <c r="Q18" s="20" t="inlineStr">
        <is>
          <t>242.80</t>
        </is>
      </c>
      <c r="R18" s="20" t="inlineStr"/>
      <c r="U18" s="32" t="inlineStr">
        <is>
          <t>0.100</t>
        </is>
      </c>
      <c r="V18" s="32" t="inlineStr">
        <is>
          <t>0.100</t>
        </is>
      </c>
      <c r="AB18" s="32" t="inlineStr">
        <is>
          <t>701.190</t>
        </is>
      </c>
      <c r="AD18" s="28" t="inlineStr">
        <is>
          <t>Plant</t>
        </is>
      </c>
      <c r="AE18" s="28" t="inlineStr">
        <is>
          <t>Rated</t>
        </is>
      </c>
      <c r="AF18" s="28" t="inlineStr">
        <is>
          <t>Available</t>
        </is>
      </c>
      <c r="AG18" s="28" t="inlineStr">
        <is>
          <t>Load</t>
        </is>
      </c>
      <c r="AH18" s="28" t="inlineStr">
        <is>
          <t>Pulangi 4 Reservoir Levels</t>
        </is>
      </c>
    </row>
    <row r="19" ht="14" customHeight="1">
      <c r="A19" s="29" t="inlineStr">
        <is>
          <t>unit 2</t>
        </is>
      </c>
      <c r="B19" s="30" t="n">
        <v>40</v>
      </c>
      <c r="C19" s="30" t="n">
        <v>0</v>
      </c>
      <c r="D19" s="30" t="n">
        <v>0</v>
      </c>
      <c r="G19" s="29" t="n">
        <v>0</v>
      </c>
      <c r="H19" s="31" t="inlineStr">
        <is>
          <t>No data</t>
        </is>
      </c>
      <c r="P19" s="19" t="inlineStr">
        <is>
          <t>Agus 6 Forebay</t>
        </is>
      </c>
      <c r="Q19" s="20" t="inlineStr">
        <is>
          <t>199.80</t>
        </is>
      </c>
      <c r="R19" s="20" t="inlineStr"/>
      <c r="U19" s="32" t="inlineStr">
        <is>
          <t>0.000</t>
        </is>
      </c>
      <c r="V19" s="32" t="inlineStr">
        <is>
          <t>0.000</t>
        </is>
      </c>
      <c r="AB19" s="32" t="inlineStr">
        <is>
          <t>637.800</t>
        </is>
      </c>
      <c r="AC19" s="33" t="inlineStr">
        <is>
          <t>Mr. Dennis</t>
        </is>
      </c>
      <c r="AD19" s="34" t="inlineStr">
        <is>
          <t>AGUS1</t>
        </is>
      </c>
      <c r="AE19" s="35" t="n">
        <v>80</v>
      </c>
      <c r="AF19" s="35" t="n">
        <v>40</v>
      </c>
      <c r="AG19" s="35" t="n">
        <v>0</v>
      </c>
      <c r="AH19" s="28" t="inlineStr">
        <is>
          <t>Agus 2-7 Forebay Elevations</t>
        </is>
      </c>
    </row>
    <row r="20" ht="14" customHeight="1">
      <c r="A20" s="24" t="inlineStr">
        <is>
          <t>AGUS 2</t>
        </is>
      </c>
      <c r="B20" s="2" t="n">
        <v>180</v>
      </c>
      <c r="C20" s="2" t="n">
        <v>180</v>
      </c>
      <c r="D20" s="2" t="n">
        <v>0</v>
      </c>
      <c r="E20" s="22" t="n">
        <v>0</v>
      </c>
      <c r="G20" s="2" t="n">
        <v>0</v>
      </c>
      <c r="H20" s="25" t="inlineStr">
        <is>
          <t>Lake Lanao Elevation is 701.50 m.a.s.l.</t>
        </is>
      </c>
      <c r="P20" s="19" t="inlineStr">
        <is>
          <t>Agus 7 Forebay</t>
        </is>
      </c>
      <c r="Q20" s="20" t="inlineStr">
        <is>
          <t>34.60</t>
        </is>
      </c>
      <c r="R20" s="20" t="inlineStr"/>
      <c r="U20" s="32" t="inlineStr">
        <is>
          <t>0.500</t>
        </is>
      </c>
      <c r="V20" s="32" t="inlineStr">
        <is>
          <t>0.000</t>
        </is>
      </c>
      <c r="AB20" s="32" t="inlineStr">
        <is>
          <t>358.800</t>
        </is>
      </c>
      <c r="AD20" s="34" t="inlineStr">
        <is>
          <t>AGUS2</t>
        </is>
      </c>
      <c r="AE20" s="35" t="n">
        <v>180</v>
      </c>
      <c r="AF20" s="35" t="n">
        <v>0</v>
      </c>
      <c r="AG20" s="35" t="n">
        <v>0</v>
      </c>
      <c r="AH20" s="36" t="inlineStr">
        <is>
          <t>Note: Forebay elevations are</t>
        </is>
      </c>
    </row>
    <row r="21" ht="14" customHeight="1">
      <c r="A21" s="29" t="inlineStr">
        <is>
          <t>unit  1</t>
        </is>
      </c>
      <c r="B21" s="30" t="n">
        <v>60</v>
      </c>
      <c r="C21" s="30" t="n">
        <v>60</v>
      </c>
      <c r="D21" s="30" t="n">
        <v>0</v>
      </c>
      <c r="G21" s="29" t="n">
        <v>0</v>
      </c>
      <c r="H21" s="31" t="inlineStr">
        <is>
          <t>No data</t>
        </is>
      </c>
      <c r="P21" s="19" t="inlineStr">
        <is>
          <t>Pulangi IV Reservoir</t>
        </is>
      </c>
      <c r="Q21" s="20" t="inlineStr">
        <is>
          <t>283.50</t>
        </is>
      </c>
      <c r="R21" s="20" t="inlineStr"/>
      <c r="U21" s="32" t="inlineStr">
        <is>
          <t>0.550</t>
        </is>
      </c>
      <c r="V21" s="32" t="inlineStr">
        <is>
          <t>0.000</t>
        </is>
      </c>
      <c r="W21" s="32" t="inlineStr">
        <is>
          <t>0.100</t>
        </is>
      </c>
      <c r="AB21" s="32" t="inlineStr">
        <is>
          <t>243.300</t>
        </is>
      </c>
      <c r="AD21" s="34" t="inlineStr">
        <is>
          <t>AGUS4</t>
        </is>
      </c>
      <c r="AE21" s="35" t="n">
        <v>158.1</v>
      </c>
      <c r="AF21" s="35" t="n">
        <v>0</v>
      </c>
      <c r="AG21" s="35" t="n">
        <v>0</v>
      </c>
      <c r="AH21" s="36" t="inlineStr">
        <is>
          <t>maintained at normal levels.</t>
        </is>
      </c>
    </row>
    <row r="22" ht="14" customHeight="1">
      <c r="A22" s="29" t="inlineStr">
        <is>
          <t>unit  2</t>
        </is>
      </c>
      <c r="B22" s="30" t="n">
        <v>60</v>
      </c>
      <c r="C22" s="30" t="n">
        <v>60</v>
      </c>
      <c r="D22" s="30" t="n">
        <v>0</v>
      </c>
      <c r="G22" s="29" t="n">
        <v>0</v>
      </c>
      <c r="H22" s="31" t="inlineStr">
        <is>
          <t>No data</t>
        </is>
      </c>
      <c r="U22" s="32" t="inlineStr">
        <is>
          <t>0.200</t>
        </is>
      </c>
      <c r="V22" s="32" t="inlineStr">
        <is>
          <t>0.200</t>
        </is>
      </c>
      <c r="W22" s="32" t="inlineStr">
        <is>
          <t>0.200</t>
        </is>
      </c>
      <c r="X22" s="32" t="inlineStr">
        <is>
          <t>0.000</t>
        </is>
      </c>
      <c r="AB22" s="32" t="inlineStr">
        <is>
          <t>199.800</t>
        </is>
      </c>
      <c r="AD22" s="34" t="inlineStr">
        <is>
          <t>AGUS5</t>
        </is>
      </c>
      <c r="AE22" s="35" t="n">
        <v>55</v>
      </c>
      <c r="AF22" s="35" t="n">
        <v>0</v>
      </c>
      <c r="AG22" s="35" t="n">
        <v>0</v>
      </c>
      <c r="AH22" s="36" t="inlineStr">
        <is>
          <t>Spillage occurs when needed.</t>
        </is>
      </c>
    </row>
    <row r="23" ht="14" customHeight="1">
      <c r="A23" s="29" t="inlineStr">
        <is>
          <t>unit  3</t>
        </is>
      </c>
      <c r="B23" s="30" t="n">
        <v>60</v>
      </c>
      <c r="C23" s="30" t="n">
        <v>60</v>
      </c>
      <c r="D23" s="30" t="n">
        <v>0</v>
      </c>
      <c r="G23" s="29" t="n">
        <v>0</v>
      </c>
      <c r="H23" s="31" t="inlineStr">
        <is>
          <t>No data</t>
        </is>
      </c>
      <c r="P23" s="13" t="inlineStr">
        <is>
          <t>HYDRO INFLOW/OUTFLOW (cms)</t>
        </is>
      </c>
      <c r="U23" s="32" t="inlineStr">
        <is>
          <t>0.000</t>
        </is>
      </c>
      <c r="V23" s="32" t="inlineStr">
        <is>
          <t>0.000</t>
        </is>
      </c>
      <c r="W23" s="32" t="inlineStr">
        <is>
          <t>0.000</t>
        </is>
      </c>
      <c r="AB23" s="32" t="inlineStr">
        <is>
          <t>34.100</t>
        </is>
      </c>
      <c r="AD23" s="34" t="inlineStr">
        <is>
          <t>AGUS6</t>
        </is>
      </c>
      <c r="AE23" s="35" t="n">
        <v>219</v>
      </c>
      <c r="AF23" s="35" t="n">
        <v>34.5</v>
      </c>
      <c r="AG23" s="35" t="n">
        <v>0</v>
      </c>
      <c r="AH23" s="37" t="inlineStr">
        <is>
          <t>RIPARIAN FLOW</t>
        </is>
      </c>
      <c r="AI23" s="37" t="inlineStr">
        <is>
          <t>CMS/MV</t>
        </is>
      </c>
      <c r="AJ23" s="37" t="inlineStr">
        <is>
          <t>CMS</t>
        </is>
      </c>
    </row>
    <row r="24" ht="14" customHeight="1">
      <c r="A24" s="24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2" t="n">
        <v>0</v>
      </c>
      <c r="G24" s="2" t="n">
        <v>0</v>
      </c>
      <c r="H24" s="25" t="inlineStr">
        <is>
          <t>Lake Lanao Elevation is 701.50 m.a.s.l.</t>
        </is>
      </c>
      <c r="P24" s="17" t="inlineStr">
        <is>
          <t>Plant</t>
        </is>
      </c>
      <c r="Q24" s="17" t="inlineStr">
        <is>
          <t>Inflow</t>
        </is>
      </c>
      <c r="R24" s="17" t="inlineStr">
        <is>
          <t>Outflow</t>
        </is>
      </c>
      <c r="S24" s="17" t="inlineStr">
        <is>
          <t>Remarks</t>
        </is>
      </c>
      <c r="U24" s="32" t="inlineStr">
        <is>
          <t>0.000</t>
        </is>
      </c>
      <c r="V24" s="32" t="inlineStr">
        <is>
          <t>0.000</t>
        </is>
      </c>
      <c r="W24" s="32" t="inlineStr">
        <is>
          <t>0.000</t>
        </is>
      </c>
      <c r="X24" s="32" t="inlineStr">
        <is>
          <t>0.000</t>
        </is>
      </c>
      <c r="Y24" s="32" t="inlineStr">
        <is>
          <t>0.000</t>
        </is>
      </c>
      <c r="Z24" s="32" t="inlineStr">
        <is>
          <t>0.000</t>
        </is>
      </c>
      <c r="AB24" s="38" t="inlineStr">
        <is>
          <t>Dependable Capacity = Pmax</t>
        </is>
      </c>
      <c r="AD24" s="34" t="inlineStr">
        <is>
          <t>AGUS7</t>
        </is>
      </c>
      <c r="AE24" s="35" t="n">
        <v>54</v>
      </c>
      <c r="AF24" s="35" t="n">
        <v>0</v>
      </c>
      <c r="AG24" s="35" t="n">
        <v>0</v>
      </c>
      <c r="AH24" s="34" t="inlineStr">
        <is>
          <t>AGUS 1</t>
        </is>
      </c>
      <c r="AI24" s="35" t="inlineStr">
        <is>
          <t>0.85</t>
        </is>
      </c>
      <c r="AJ24" s="35" t="inlineStr">
        <is>
          <t>85.0</t>
        </is>
      </c>
    </row>
    <row r="25" ht="14" customHeight="1">
      <c r="A25" s="29" t="inlineStr">
        <is>
          <t>unit  1</t>
        </is>
      </c>
      <c r="B25" s="30" t="n">
        <v>52.7</v>
      </c>
      <c r="C25" s="30" t="n">
        <v>0</v>
      </c>
      <c r="D25" s="30" t="n">
        <v>0</v>
      </c>
      <c r="G25" s="29" t="n">
        <v>0</v>
      </c>
      <c r="H25" s="31" t="inlineStr">
        <is>
          <t>No data</t>
        </is>
      </c>
      <c r="P25" s="19" t="inlineStr">
        <is>
          <t>Lake Lanao</t>
        </is>
      </c>
      <c r="Q25" s="20" t="inlineStr">
        <is>
          <t>0.00</t>
        </is>
      </c>
      <c r="R25" s="20" t="inlineStr">
        <is>
          <t>0.00</t>
        </is>
      </c>
      <c r="S25" s="20" t="inlineStr"/>
      <c r="AD25" s="34" t="inlineStr">
        <is>
          <t>PULANGI4</t>
        </is>
      </c>
      <c r="AE25" s="35" t="n">
        <v>255</v>
      </c>
      <c r="AF25" s="35" t="n">
        <v>0</v>
      </c>
      <c r="AG25" s="35" t="n">
        <v>0</v>
      </c>
      <c r="AH25" s="34" t="inlineStr">
        <is>
          <t>AGUS 2</t>
        </is>
      </c>
      <c r="AI25" s="35" t="inlineStr">
        <is>
          <t>0.90</t>
        </is>
      </c>
      <c r="AJ25" s="35" t="inlineStr">
        <is>
          <t>90.0</t>
        </is>
      </c>
    </row>
    <row r="26" ht="14" customHeight="1">
      <c r="A26" s="29" t="inlineStr">
        <is>
          <t>unit  2</t>
        </is>
      </c>
      <c r="B26" s="30" t="n">
        <v>52.7</v>
      </c>
      <c r="C26" s="30" t="n">
        <v>52.7</v>
      </c>
      <c r="D26" s="30" t="n">
        <v>0</v>
      </c>
      <c r="G26" s="29" t="n">
        <v>0</v>
      </c>
      <c r="H26" s="31" t="inlineStr">
        <is>
          <t>No data</t>
        </is>
      </c>
      <c r="P26" s="19" t="inlineStr">
        <is>
          <t>Agus 1</t>
        </is>
      </c>
      <c r="Q26" s="20" t="inlineStr">
        <is>
          <t>0.00</t>
        </is>
      </c>
      <c r="R26" s="20" t="inlineStr">
        <is>
          <t>0.00</t>
        </is>
      </c>
      <c r="S26" s="20" t="inlineStr"/>
      <c r="AD26" s="34" t="inlineStr">
        <is>
          <t>STEAG1</t>
        </is>
      </c>
      <c r="AE26" s="35" t="n">
        <v>105</v>
      </c>
      <c r="AF26" s="35" t="n">
        <v>105</v>
      </c>
      <c r="AG26" s="35" t="n">
        <v>0</v>
      </c>
      <c r="AH26" s="34" t="inlineStr">
        <is>
          <t>AGUS 3</t>
        </is>
      </c>
      <c r="AI26" s="35" t="inlineStr">
        <is>
          <t>0.88</t>
        </is>
      </c>
      <c r="AJ26" s="35" t="inlineStr">
        <is>
          <t>88.0</t>
        </is>
      </c>
    </row>
    <row r="27" ht="14" customHeight="1">
      <c r="A27" s="29" t="inlineStr">
        <is>
          <t>unit  3</t>
        </is>
      </c>
      <c r="B27" s="30" t="n">
        <v>52.7</v>
      </c>
      <c r="C27" s="30" t="n">
        <v>52.7</v>
      </c>
      <c r="D27" s="30" t="n">
        <v>0</v>
      </c>
      <c r="G27" s="29" t="n">
        <v>0</v>
      </c>
      <c r="H27" s="31" t="inlineStr">
        <is>
          <t>No data</t>
        </is>
      </c>
      <c r="P27" s="19" t="inlineStr">
        <is>
          <t>Agus 2</t>
        </is>
      </c>
      <c r="Q27" s="20" t="inlineStr">
        <is>
          <t>0.00</t>
        </is>
      </c>
      <c r="R27" s="20" t="inlineStr">
        <is>
          <t>0.00</t>
        </is>
      </c>
      <c r="S27" s="20" t="inlineStr"/>
      <c r="AD27" s="34" t="inlineStr">
        <is>
          <t>PMGPP1</t>
        </is>
      </c>
      <c r="AE27" s="35" t="n">
        <v>0</v>
      </c>
      <c r="AF27" s="35" t="n">
        <v>0</v>
      </c>
      <c r="AG27" s="35" t="n">
        <v>0</v>
      </c>
      <c r="AH27" s="34" t="inlineStr">
        <is>
          <t>AGUS 4</t>
        </is>
      </c>
      <c r="AI27" s="35" t="inlineStr">
        <is>
          <t>0.92</t>
        </is>
      </c>
      <c r="AJ27" s="35" t="inlineStr">
        <is>
          <t>92.0</t>
        </is>
      </c>
    </row>
    <row r="28" ht="14" customHeight="1">
      <c r="A28" s="24" t="inlineStr">
        <is>
          <t>AGUS 5</t>
        </is>
      </c>
      <c r="B28" s="2" t="n">
        <v>55</v>
      </c>
      <c r="C28" s="2" t="n">
        <v>55</v>
      </c>
      <c r="D28" s="2" t="n">
        <v>0</v>
      </c>
      <c r="E28" s="22" t="n">
        <v>0</v>
      </c>
      <c r="G28" s="2" t="n">
        <v>0</v>
      </c>
      <c r="H28" s="25" t="inlineStr">
        <is>
          <t>Lake Lanao Elevation is 701.50 m.a.s.l.</t>
        </is>
      </c>
      <c r="P28" s="19" t="inlineStr">
        <is>
          <t>Agus 4</t>
        </is>
      </c>
      <c r="Q28" s="20" t="inlineStr">
        <is>
          <t>0.00</t>
        </is>
      </c>
      <c r="R28" s="20" t="inlineStr">
        <is>
          <t>0.00</t>
        </is>
      </c>
      <c r="S28" s="20" t="inlineStr"/>
      <c r="AD28" s="34" t="inlineStr">
        <is>
          <t>PMGPP2</t>
        </is>
      </c>
      <c r="AE28" s="35" t="n">
        <v>0</v>
      </c>
      <c r="AF28" s="35" t="n">
        <v>0</v>
      </c>
      <c r="AG28" s="35" t="n">
        <v>0</v>
      </c>
      <c r="AH28" s="34" t="inlineStr">
        <is>
          <t>AGUS 5</t>
        </is>
      </c>
      <c r="AI28" s="35" t="inlineStr">
        <is>
          <t>0.87</t>
        </is>
      </c>
      <c r="AJ28" s="35" t="inlineStr">
        <is>
          <t>87.0</t>
        </is>
      </c>
    </row>
    <row r="29" ht="21.75" customHeight="1">
      <c r="A29" s="29" t="inlineStr">
        <is>
          <t>unit 1</t>
        </is>
      </c>
      <c r="B29" s="30" t="n">
        <v>27.5</v>
      </c>
      <c r="C29" s="30" t="n">
        <v>27.5</v>
      </c>
      <c r="D29" s="30" t="n">
        <v>0</v>
      </c>
      <c r="G29" s="29" t="n">
        <v>0</v>
      </c>
      <c r="H29" s="31" t="inlineStr">
        <is>
          <t>No data</t>
        </is>
      </c>
      <c r="P29" s="19" t="inlineStr">
        <is>
          <t>Agus 5</t>
        </is>
      </c>
      <c r="Q29" s="20" t="inlineStr">
        <is>
          <t>0.00</t>
        </is>
      </c>
      <c r="R29" s="20" t="inlineStr">
        <is>
          <t>0.00</t>
        </is>
      </c>
      <c r="S29" s="20" t="inlineStr"/>
      <c r="AH29" s="34" t="inlineStr">
        <is>
          <t>AGUS 6</t>
        </is>
      </c>
      <c r="AI29" s="35" t="inlineStr">
        <is>
          <t>0.89</t>
        </is>
      </c>
      <c r="AJ29" s="35" t="inlineStr">
        <is>
          <t>89.0</t>
        </is>
      </c>
    </row>
    <row r="30" ht="21.75" customHeight="1">
      <c r="A30" s="29" t="inlineStr">
        <is>
          <t>unit 2</t>
        </is>
      </c>
      <c r="B30" s="30" t="n">
        <v>27.5</v>
      </c>
      <c r="C30" s="30" t="n">
        <v>27.5</v>
      </c>
      <c r="D30" s="30" t="n">
        <v>0</v>
      </c>
      <c r="G30" s="29" t="n">
        <v>0</v>
      </c>
      <c r="H30" s="31" t="inlineStr">
        <is>
          <t>No data</t>
        </is>
      </c>
      <c r="P30" s="19" t="inlineStr">
        <is>
          <t>Agus 6</t>
        </is>
      </c>
      <c r="Q30" s="20" t="inlineStr">
        <is>
          <t>0.00</t>
        </is>
      </c>
      <c r="R30" s="20" t="inlineStr">
        <is>
          <t>0.00</t>
        </is>
      </c>
      <c r="S30" s="20" t="inlineStr"/>
      <c r="AH30" s="34" t="inlineStr">
        <is>
          <t>AGUS 7</t>
        </is>
      </c>
      <c r="AI30" s="35" t="inlineStr">
        <is>
          <t>0.91</t>
        </is>
      </c>
      <c r="AJ30" s="35" t="inlineStr">
        <is>
          <t>91.0</t>
        </is>
      </c>
    </row>
    <row r="31" ht="23.45" customHeight="1">
      <c r="A31" s="24" t="inlineStr">
        <is>
          <t>AGUS 6</t>
        </is>
      </c>
      <c r="B31" s="2" t="n">
        <v>219</v>
      </c>
      <c r="C31" s="2" t="n">
        <v>165</v>
      </c>
      <c r="D31" s="2" t="n">
        <v>34.5</v>
      </c>
      <c r="E31" s="22" t="n">
        <v>0</v>
      </c>
      <c r="G31" s="2" t="n">
        <v>0</v>
      </c>
      <c r="H31" s="25" t="inlineStr">
        <is>
          <t>Lake Lanao Elevation is 701.50 m.a.s.l.</t>
        </is>
      </c>
      <c r="P31" s="19" t="inlineStr">
        <is>
          <t>Agus 7</t>
        </is>
      </c>
      <c r="Q31" s="20" t="inlineStr">
        <is>
          <t>0.00</t>
        </is>
      </c>
      <c r="R31" s="20" t="inlineStr">
        <is>
          <t>0.00</t>
        </is>
      </c>
      <c r="S31" s="20" t="inlineStr"/>
      <c r="AD31" s="39" t="inlineStr">
        <is>
          <t>Rated</t>
        </is>
      </c>
      <c r="AE31" s="39" t="inlineStr">
        <is>
          <t>Available</t>
        </is>
      </c>
      <c r="AF31" s="39" t="inlineStr">
        <is>
          <t>C @0800H Load</t>
        </is>
      </c>
      <c r="AH31" s="28" t="inlineStr">
        <is>
          <t>MLRD GATES OPENING</t>
        </is>
      </c>
      <c r="AI31" s="15" t="n"/>
      <c r="AJ31" s="16" t="n"/>
    </row>
    <row r="32" ht="13" customHeight="1">
      <c r="A32" s="29" t="inlineStr">
        <is>
          <t xml:space="preserve">  unit  1</t>
        </is>
      </c>
      <c r="B32" s="30" t="n">
        <v>34.5</v>
      </c>
      <c r="C32" s="30" t="n">
        <v>20</v>
      </c>
      <c r="D32" s="30" t="n">
        <v>34.5</v>
      </c>
      <c r="G32" s="29" t="n">
        <v>0</v>
      </c>
      <c r="H32" s="31" t="inlineStr">
        <is>
          <t>STANDBY</t>
        </is>
      </c>
      <c r="P32" s="19" t="inlineStr">
        <is>
          <t>Pulangi IV</t>
        </is>
      </c>
      <c r="Q32" s="20" t="inlineStr">
        <is>
          <t>0.00</t>
        </is>
      </c>
      <c r="R32" s="20" t="inlineStr">
        <is>
          <t>0.00</t>
        </is>
      </c>
      <c r="S32" s="20" t="inlineStr"/>
      <c r="AD32" s="40" t="inlineStr">
        <is>
          <t>AGUS1</t>
        </is>
      </c>
      <c r="AE32" s="35" t="n">
        <v>80</v>
      </c>
      <c r="AF32" s="35" t="n">
        <v>40</v>
      </c>
      <c r="AG32" s="35" t="n">
        <v>0</v>
      </c>
      <c r="AH32" s="34" t="inlineStr">
        <is>
          <t>Status: Operational</t>
        </is>
      </c>
    </row>
    <row r="33" ht="13" customHeight="1">
      <c r="A33" s="29" t="inlineStr">
        <is>
          <t xml:space="preserve">  unit  2</t>
        </is>
      </c>
      <c r="B33" s="30" t="n">
        <v>34.5</v>
      </c>
      <c r="C33" s="30" t="n">
        <v>21</v>
      </c>
      <c r="D33" s="30" t="n">
        <v>0</v>
      </c>
      <c r="G33" s="29" t="n">
        <v>0</v>
      </c>
      <c r="H33" s="31" t="inlineStr">
        <is>
          <t>No data</t>
        </is>
      </c>
      <c r="AD33" s="40" t="inlineStr">
        <is>
          <t>AGUS2</t>
        </is>
      </c>
      <c r="AE33" s="35" t="n">
        <v>180</v>
      </c>
      <c r="AF33" s="35" t="n">
        <v>0</v>
      </c>
      <c r="AG33" s="35" t="n">
        <v>0</v>
      </c>
    </row>
    <row r="34" ht="13" customHeight="1">
      <c r="A34" s="29" t="inlineStr">
        <is>
          <t>unit  3</t>
        </is>
      </c>
      <c r="B34" s="30" t="n">
        <v>50</v>
      </c>
      <c r="C34" s="30" t="n">
        <v>42</v>
      </c>
      <c r="D34" s="30" t="n">
        <v>0</v>
      </c>
      <c r="G34" s="29" t="n">
        <v>0</v>
      </c>
      <c r="H34" s="31" t="inlineStr">
        <is>
          <t>No data</t>
        </is>
      </c>
      <c r="P34" s="13" t="inlineStr">
        <is>
          <t>GENERATION DATA (MWh)</t>
        </is>
      </c>
      <c r="AD34" s="40" t="inlineStr">
        <is>
          <t>AGUS4</t>
        </is>
      </c>
      <c r="AE34" s="35" t="n">
        <v>158.1</v>
      </c>
      <c r="AF34" s="35" t="n">
        <v>0</v>
      </c>
      <c r="AG34" s="35" t="n">
        <v>0</v>
      </c>
      <c r="AH34" s="37" t="inlineStr">
        <is>
          <t>SPILLAGE (MCM) INPUT 2</t>
        </is>
      </c>
      <c r="AI34" s="15" t="n"/>
      <c r="AJ34" s="16" t="n"/>
    </row>
    <row r="35" ht="13" customHeight="1">
      <c r="A35" s="29" t="inlineStr">
        <is>
          <t>unit  4</t>
        </is>
      </c>
      <c r="B35" s="30" t="n">
        <v>50</v>
      </c>
      <c r="C35" s="30" t="n">
        <v>38</v>
      </c>
      <c r="D35" s="30" t="n">
        <v>0</v>
      </c>
      <c r="G35" s="29" t="n">
        <v>0</v>
      </c>
      <c r="H35" s="31" t="inlineStr">
        <is>
          <t>No data</t>
        </is>
      </c>
      <c r="P35" s="41" t="inlineStr">
        <is>
          <t>USEABLE VOLUME OF PONDAGE AREA (MCN)</t>
        </is>
      </c>
      <c r="Q35" s="15" t="n"/>
      <c r="R35" s="15" t="n"/>
      <c r="S35" s="16" t="n"/>
      <c r="AD35" s="40" t="inlineStr">
        <is>
          <t>AGUS5</t>
        </is>
      </c>
      <c r="AE35" s="35" t="n">
        <v>55</v>
      </c>
      <c r="AF35" s="35" t="n">
        <v>0</v>
      </c>
      <c r="AG35" s="35" t="n">
        <v>0</v>
      </c>
      <c r="AH35" s="34" t="inlineStr">
        <is>
          <t>Lake Lanao</t>
        </is>
      </c>
      <c r="AI35" s="35" t="inlineStr">
        <is>
          <t>0.00</t>
        </is>
      </c>
    </row>
    <row r="36" ht="13" customHeight="1">
      <c r="A36" s="29" t="inlineStr">
        <is>
          <t>unit  5</t>
        </is>
      </c>
      <c r="B36" s="30" t="n">
        <v>50</v>
      </c>
      <c r="C36" s="30" t="n">
        <v>44</v>
      </c>
      <c r="D36" s="30" t="n">
        <v>0</v>
      </c>
      <c r="G36" s="29" t="n">
        <v>0</v>
      </c>
      <c r="H36" s="31" t="inlineStr">
        <is>
          <t>No data</t>
        </is>
      </c>
      <c r="P36" s="28" t="inlineStr">
        <is>
          <t>Aqua Elevation</t>
        </is>
      </c>
      <c r="Q36" s="28" t="inlineStr">
        <is>
          <t>MIN</t>
        </is>
      </c>
      <c r="R36" s="28" t="inlineStr">
        <is>
          <t>MAX</t>
        </is>
      </c>
      <c r="S36" s="28" t="inlineStr">
        <is>
          <t>USEABLE VOLUME</t>
        </is>
      </c>
      <c r="AD36" s="40" t="inlineStr">
        <is>
          <t>AGUS6</t>
        </is>
      </c>
      <c r="AE36" s="35" t="n">
        <v>219</v>
      </c>
      <c r="AF36" s="35" t="n">
        <v>34.5</v>
      </c>
      <c r="AG36" s="35" t="n">
        <v>0</v>
      </c>
      <c r="AH36" s="34" t="inlineStr">
        <is>
          <t>Agus 2</t>
        </is>
      </c>
      <c r="AI36" s="35" t="inlineStr">
        <is>
          <t>0.00</t>
        </is>
      </c>
    </row>
    <row r="37" ht="13" customHeight="1">
      <c r="A37" s="24" t="inlineStr">
        <is>
          <t>AGUS 7</t>
        </is>
      </c>
      <c r="B37" s="2" t="n">
        <v>54</v>
      </c>
      <c r="C37" s="2" t="n">
        <v>54</v>
      </c>
      <c r="D37" s="2" t="n">
        <v>0</v>
      </c>
      <c r="E37" s="22" t="n">
        <v>0</v>
      </c>
      <c r="G37" s="2" t="n">
        <v>0</v>
      </c>
      <c r="H37" s="25" t="inlineStr">
        <is>
          <t>Lake Lanao Elevation is 701.50 m.a.s.l.</t>
        </is>
      </c>
      <c r="P37" s="34" t="inlineStr">
        <is>
          <t>Aqua 1 Elevation</t>
        </is>
      </c>
      <c r="Q37" s="35" t="inlineStr">
        <is>
          <t>0.0000</t>
        </is>
      </c>
      <c r="R37" s="35" t="inlineStr">
        <is>
          <t>898.19</t>
        </is>
      </c>
      <c r="S37" s="35" t="inlineStr">
        <is>
          <t>1,327.00</t>
        </is>
      </c>
      <c r="AD37" s="40" t="inlineStr">
        <is>
          <t>AGUS7</t>
        </is>
      </c>
      <c r="AE37" s="35" t="n">
        <v>54</v>
      </c>
      <c r="AF37" s="35" t="n">
        <v>0</v>
      </c>
      <c r="AG37" s="35" t="n">
        <v>0</v>
      </c>
      <c r="AH37" s="34" t="inlineStr">
        <is>
          <t>Agus 4</t>
        </is>
      </c>
      <c r="AI37" s="35" t="inlineStr">
        <is>
          <t>0.00</t>
        </is>
      </c>
    </row>
    <row r="38" ht="13" customHeight="1">
      <c r="A38" s="29" t="inlineStr">
        <is>
          <t>unit 1</t>
        </is>
      </c>
      <c r="B38" s="30" t="n">
        <v>27</v>
      </c>
      <c r="C38" s="30" t="n">
        <v>27</v>
      </c>
      <c r="D38" s="30" t="n">
        <v>0</v>
      </c>
      <c r="G38" s="29" t="n">
        <v>0</v>
      </c>
      <c r="H38" s="31" t="inlineStr">
        <is>
          <t>No data</t>
        </is>
      </c>
      <c r="P38" s="34" t="inlineStr">
        <is>
          <t>Aqua 2 Elevation</t>
        </is>
      </c>
      <c r="Q38" s="35" t="inlineStr">
        <is>
          <t>0.0000</t>
        </is>
      </c>
      <c r="R38" s="35" t="inlineStr">
        <is>
          <t>647.80</t>
        </is>
      </c>
      <c r="S38" s="35" t="inlineStr">
        <is>
          <t>1,200.00</t>
        </is>
      </c>
      <c r="AD38" s="40" t="inlineStr">
        <is>
          <t>PULANGI4</t>
        </is>
      </c>
      <c r="AE38" s="35" t="n">
        <v>255</v>
      </c>
      <c r="AF38" s="35" t="n">
        <v>0</v>
      </c>
      <c r="AG38" s="35" t="n">
        <v>0</v>
      </c>
      <c r="AH38" s="34" t="inlineStr">
        <is>
          <t>Agus 5</t>
        </is>
      </c>
      <c r="AI38" s="35" t="inlineStr">
        <is>
          <t>0.00</t>
        </is>
      </c>
    </row>
    <row r="39" ht="13" customHeight="1">
      <c r="A39" s="29" t="inlineStr">
        <is>
          <t>unit 2</t>
        </is>
      </c>
      <c r="B39" s="30" t="n">
        <v>27</v>
      </c>
      <c r="C39" s="30" t="n">
        <v>27</v>
      </c>
      <c r="D39" s="30" t="n">
        <v>0</v>
      </c>
      <c r="G39" s="29" t="n">
        <v>0</v>
      </c>
      <c r="H39" s="31" t="inlineStr">
        <is>
          <t>No data</t>
        </is>
      </c>
      <c r="P39" s="34" t="inlineStr">
        <is>
          <t>Aqua 3 Elevation</t>
        </is>
      </c>
      <c r="Q39" s="35" t="inlineStr">
        <is>
          <t>0.0000</t>
        </is>
      </c>
      <c r="R39" s="35" t="inlineStr">
        <is>
          <t>450.00</t>
        </is>
      </c>
      <c r="S39" s="35" t="inlineStr">
        <is>
          <t>850.00</t>
        </is>
      </c>
      <c r="AD39" s="42" t="inlineStr">
        <is>
          <t>Total</t>
        </is>
      </c>
      <c r="AE39" s="35" t="n">
        <v>1001.1</v>
      </c>
      <c r="AF39" s="35" t="n">
        <v>74.5</v>
      </c>
      <c r="AG39" s="35" t="n">
        <v>0</v>
      </c>
      <c r="AH39" s="34" t="inlineStr">
        <is>
          <t>Agus 6</t>
        </is>
      </c>
      <c r="AI39" s="35" t="inlineStr">
        <is>
          <t>0.00</t>
        </is>
      </c>
    </row>
    <row r="40" ht="23.45" customHeight="1">
      <c r="A40" s="43" t="inlineStr">
        <is>
          <t xml:space="preserve"> TOTAL AGUS</t>
        </is>
      </c>
      <c r="P40" s="34" t="inlineStr">
        <is>
          <t>Aqua 4 Elevation</t>
        </is>
      </c>
      <c r="Q40" s="35" t="inlineStr">
        <is>
          <t>0.0000</t>
        </is>
      </c>
      <c r="R40" s="35" t="inlineStr">
        <is>
          <t>350.00</t>
        </is>
      </c>
      <c r="S40" s="35" t="inlineStr">
        <is>
          <t>650.00</t>
        </is>
      </c>
      <c r="AH40" s="34" t="inlineStr">
        <is>
          <t>Agus 7</t>
        </is>
      </c>
      <c r="AI40" s="35" t="inlineStr">
        <is>
          <t>0.00</t>
        </is>
      </c>
    </row>
    <row r="41" ht="23.45" customHeight="1">
      <c r="A41" s="24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22" t="n">
        <v>0</v>
      </c>
      <c r="G41" s="2" t="n">
        <v>0</v>
      </c>
      <c r="H41" s="25" t="inlineStr">
        <is>
          <t>Reservoir Elevation is 290.00 m.a.s.l.</t>
        </is>
      </c>
      <c r="P41" s="34" t="inlineStr">
        <is>
          <t>Aqua 5 Elevation</t>
        </is>
      </c>
      <c r="Q41" s="35" t="inlineStr">
        <is>
          <t>0.0000</t>
        </is>
      </c>
      <c r="R41" s="35" t="inlineStr">
        <is>
          <t>300.00</t>
        </is>
      </c>
      <c r="S41" s="35" t="inlineStr">
        <is>
          <t>500.00</t>
        </is>
      </c>
      <c r="AH41" s="34" t="inlineStr">
        <is>
          <t>Pulangi IV</t>
        </is>
      </c>
      <c r="AI41" s="35" t="inlineStr">
        <is>
          <t>0.00</t>
        </is>
      </c>
    </row>
    <row r="42" ht="21.75" customHeight="1">
      <c r="A42" s="29" t="inlineStr">
        <is>
          <t>unit  1</t>
        </is>
      </c>
      <c r="B42" s="30" t="n">
        <v>85</v>
      </c>
      <c r="C42" s="30" t="n">
        <v>75</v>
      </c>
      <c r="D42" s="30" t="n">
        <v>0</v>
      </c>
      <c r="G42" s="29" t="n">
        <v>0</v>
      </c>
      <c r="H42" s="31" t="inlineStr">
        <is>
          <t>No data</t>
        </is>
      </c>
      <c r="P42" s="34" t="inlineStr">
        <is>
          <t>Aqua 6 Elevation</t>
        </is>
      </c>
      <c r="Q42" s="35" t="inlineStr">
        <is>
          <t>0.0000</t>
        </is>
      </c>
      <c r="R42" s="35" t="inlineStr">
        <is>
          <t>280.00</t>
        </is>
      </c>
      <c r="S42" s="35" t="inlineStr">
        <is>
          <t>400.00</t>
        </is>
      </c>
      <c r="AD42" s="39" t="inlineStr">
        <is>
          <t>Rated</t>
        </is>
      </c>
      <c r="AE42" s="39" t="inlineStr">
        <is>
          <t>Available</t>
        </is>
      </c>
      <c r="AF42" s="39" t="inlineStr">
        <is>
          <t>C for day % Pmax</t>
        </is>
      </c>
      <c r="AH42" s="44" t="inlineStr">
        <is>
          <t>INPUT 2</t>
        </is>
      </c>
      <c r="AI42" s="45" t="n"/>
    </row>
    <row r="43" ht="13" customHeight="1">
      <c r="A43" s="29" t="inlineStr">
        <is>
          <t>unit  2</t>
        </is>
      </c>
      <c r="B43" s="30" t="n">
        <v>85</v>
      </c>
      <c r="C43" s="30" t="n">
        <v>70</v>
      </c>
      <c r="D43" s="30" t="n">
        <v>0</v>
      </c>
      <c r="G43" s="29" t="n">
        <v>0</v>
      </c>
      <c r="H43" s="31" t="inlineStr">
        <is>
          <t>No data</t>
        </is>
      </c>
      <c r="P43" s="46" t="inlineStr">
        <is>
          <t>Aqua 7 Elevation</t>
        </is>
      </c>
      <c r="Q43" s="47" t="inlineStr">
        <is>
          <t>0.0000</t>
        </is>
      </c>
      <c r="R43" s="47" t="inlineStr">
        <is>
          <t>270.00</t>
        </is>
      </c>
      <c r="S43" s="47" t="inlineStr">
        <is>
          <t>22.00</t>
        </is>
      </c>
      <c r="AD43" s="40" t="inlineStr">
        <is>
          <t>AGUS1</t>
        </is>
      </c>
      <c r="AE43" s="35" t="n">
        <v>80</v>
      </c>
      <c r="AF43" s="35" t="n">
        <v>40</v>
      </c>
      <c r="AG43" s="35" t="n">
        <v>0</v>
      </c>
      <c r="AH43" s="2" t="inlineStr">
        <is>
          <t>↓</t>
        </is>
      </c>
    </row>
    <row r="44" ht="13" customHeight="1">
      <c r="A44" s="29" t="inlineStr">
        <is>
          <t>unit  3</t>
        </is>
      </c>
      <c r="B44" s="30" t="n">
        <v>85</v>
      </c>
      <c r="C44" s="30" t="n">
        <v>70</v>
      </c>
      <c r="D44" s="30" t="n">
        <v>0</v>
      </c>
      <c r="G44" s="29" t="n">
        <v>0</v>
      </c>
      <c r="H44" s="31" t="inlineStr">
        <is>
          <t>No data</t>
        </is>
      </c>
      <c r="P44" s="48" t="inlineStr">
        <is>
          <t>*Lake Lanao Elevation is 701.19 masl</t>
        </is>
      </c>
      <c r="AG44" s="35" t="n">
        <v>0</v>
      </c>
      <c r="AH44" s="37" t="inlineStr">
        <is>
          <t>PROCESS</t>
        </is>
      </c>
      <c r="AI44" s="16" t="n"/>
    </row>
    <row r="45" ht="13" customHeight="1">
      <c r="A45" s="43" t="inlineStr">
        <is>
          <t>TOTAL HYDRO</t>
        </is>
      </c>
      <c r="P45" s="49" t="inlineStr">
        <is>
          <t>*Gate opening: G1-0.10m, G2-0.10m</t>
        </is>
      </c>
      <c r="Q45" s="15" t="n"/>
      <c r="R45" s="15" t="n"/>
      <c r="S45" s="16" t="n"/>
      <c r="AD45" s="40" t="inlineStr">
        <is>
          <t>AGUS2</t>
        </is>
      </c>
      <c r="AE45" s="35" t="n">
        <v>180</v>
      </c>
      <c r="AF45" s="35" t="n">
        <v>0</v>
      </c>
      <c r="AG45" s="35" t="n">
        <v>0</v>
      </c>
    </row>
    <row r="46" ht="13" customHeight="1">
      <c r="A46" s="50" t="inlineStr">
        <is>
          <t>Agus-Pulangi Forecasted Load @ 6pm, Mar 12, 2026 : Agus = 0.0 MW &amp; Pulangui IV = 0.0 MW, Total Load: 0.0 MW</t>
        </is>
      </c>
      <c r="P46" s="17" t="inlineStr">
        <is>
          <t>Plant</t>
        </is>
      </c>
      <c r="Q46" s="17" t="inlineStr">
        <is>
          <t>Today</t>
        </is>
      </c>
      <c r="R46" s="17" t="inlineStr">
        <is>
          <t>MTD</t>
        </is>
      </c>
      <c r="S46" s="17" t="inlineStr">
        <is>
          <t>YTD</t>
        </is>
      </c>
      <c r="AG46" s="35" t="n">
        <v>0</v>
      </c>
    </row>
    <row r="47" ht="13" customHeight="1">
      <c r="A47" s="51" t="inlineStr">
        <is>
          <t>MCFPP (STEAG), unit 1</t>
        </is>
      </c>
      <c r="B47" s="52" t="n">
        <v>116</v>
      </c>
      <c r="C47" s="52" t="n">
        <v>105</v>
      </c>
      <c r="D47" s="53" t="n">
        <v>105</v>
      </c>
      <c r="E47" s="53" t="n">
        <v>61.5</v>
      </c>
      <c r="H47" s="51" t="inlineStr">
        <is>
          <t>Normal Operation</t>
        </is>
      </c>
      <c r="P47" s="37" t="inlineStr">
        <is>
          <t>CONVERSION RATE BERNARD FLOW</t>
        </is>
      </c>
      <c r="Q47" s="15" t="n"/>
      <c r="R47" s="15" t="n"/>
      <c r="S47" s="16" t="n"/>
      <c r="AD47" s="40" t="inlineStr">
        <is>
          <t>AGUS4</t>
        </is>
      </c>
      <c r="AE47" s="35" t="n">
        <v>158.1</v>
      </c>
      <c r="AF47" s="35" t="n">
        <v>0</v>
      </c>
      <c r="AG47" s="35" t="n">
        <v>0</v>
      </c>
    </row>
    <row r="48" ht="13" customHeight="1">
      <c r="A48" s="51" t="inlineStr">
        <is>
          <t>MCFPP (STEAG), unit 2</t>
        </is>
      </c>
      <c r="B48" s="52" t="n">
        <v>116</v>
      </c>
      <c r="C48" s="52" t="n">
        <v>105</v>
      </c>
      <c r="D48" s="53" t="n">
        <v>105</v>
      </c>
      <c r="E48" s="53" t="n">
        <v>62.6</v>
      </c>
      <c r="H48" s="51" t="inlineStr">
        <is>
          <t>Normal Operation</t>
        </is>
      </c>
      <c r="P48" s="28" t="inlineStr">
        <is>
          <t>AGUS #</t>
        </is>
      </c>
      <c r="Q48" s="28" t="inlineStr">
        <is>
          <t>CRS MW</t>
        </is>
      </c>
      <c r="R48" s="28" t="inlineStr">
        <is>
          <t>EQ. AVG CAP</t>
        </is>
      </c>
      <c r="S48" s="54" t="inlineStr"/>
      <c r="AG48" s="35" t="n">
        <v>0</v>
      </c>
    </row>
    <row r="49" ht="13" customHeight="1">
      <c r="A49" s="55" t="inlineStr">
        <is>
          <t>TOTAL IPP</t>
        </is>
      </c>
      <c r="B49" s="56" t="n">
        <v>232</v>
      </c>
      <c r="C49" s="56" t="n">
        <v>210</v>
      </c>
      <c r="D49" s="56" t="n">
        <v>210</v>
      </c>
      <c r="E49" s="56" t="n">
        <v>124.1</v>
      </c>
      <c r="P49" s="34" t="inlineStr">
        <is>
          <t>AGUS 1</t>
        </is>
      </c>
      <c r="Q49" s="35" t="inlineStr">
        <is>
          <t>1,984</t>
        </is>
      </c>
      <c r="R49" s="35" t="inlineStr">
        <is>
          <t>10</t>
        </is>
      </c>
      <c r="S49" s="35" t="inlineStr">
        <is>
          <t>10.18</t>
        </is>
      </c>
      <c r="AD49" s="40" t="inlineStr">
        <is>
          <t>AGUS5</t>
        </is>
      </c>
      <c r="AE49" s="35" t="n">
        <v>55</v>
      </c>
      <c r="AF49" s="35" t="n">
        <v>0</v>
      </c>
      <c r="AG49" s="35" t="n">
        <v>0</v>
      </c>
    </row>
    <row r="50" ht="13" customHeight="1">
      <c r="A50" s="57" t="inlineStr">
        <is>
          <t>TOTAL NPC-PSALM</t>
        </is>
      </c>
      <c r="B50" s="58" t="inlineStr">
        <is>
          <t>1,233.10</t>
        </is>
      </c>
      <c r="C50" s="58" t="inlineStr">
        <is>
          <t>1,021.3</t>
        </is>
      </c>
      <c r="D50" s="58" t="inlineStr">
        <is>
          <t>857.00</t>
        </is>
      </c>
      <c r="E50" s="58" t="inlineStr">
        <is>
          <t>759.59</t>
        </is>
      </c>
      <c r="P50" s="34" t="inlineStr">
        <is>
          <t>AGUS 2</t>
        </is>
      </c>
      <c r="Q50" s="35" t="inlineStr">
        <is>
          <t>1,078</t>
        </is>
      </c>
      <c r="R50" s="35" t="inlineStr">
        <is>
          <t>3.0</t>
        </is>
      </c>
      <c r="S50" s="35" t="inlineStr"/>
      <c r="AG50" s="35" t="n">
        <v>0</v>
      </c>
    </row>
    <row r="51" ht="13" customHeight="1">
      <c r="P51" s="34" t="inlineStr">
        <is>
          <t>AGUS 3</t>
        </is>
      </c>
      <c r="Q51" s="35" t="inlineStr">
        <is>
          <t>1,078</t>
        </is>
      </c>
      <c r="R51" s="35" t="inlineStr">
        <is>
          <t>2.70</t>
        </is>
      </c>
      <c r="S51" s="35" t="inlineStr"/>
      <c r="AD51" s="40" t="inlineStr">
        <is>
          <t>AGUS6</t>
        </is>
      </c>
      <c r="AE51" s="35" t="n">
        <v>219</v>
      </c>
      <c r="AF51" s="35" t="n">
        <v>34.5</v>
      </c>
      <c r="AG51" s="35" t="n">
        <v>0</v>
      </c>
    </row>
    <row r="52" ht="13" customHeight="1">
      <c r="B52" s="59" t="inlineStr">
        <is>
          <t>NPC-PSALM Capacity Mix</t>
        </is>
      </c>
      <c r="H52" s="59" t="inlineStr">
        <is>
          <t>MinGen Forecasted Load Share (MW), @6pm Today</t>
        </is>
      </c>
      <c r="P52" s="34" t="inlineStr">
        <is>
          <t>AGUS 4</t>
        </is>
      </c>
      <c r="Q52" s="35" t="inlineStr">
        <is>
          <t>1,078</t>
        </is>
      </c>
      <c r="R52" s="35" t="inlineStr">
        <is>
          <t>3.50</t>
        </is>
      </c>
      <c r="S52" s="35" t="inlineStr"/>
      <c r="AG52" s="35" t="n">
        <v>0</v>
      </c>
    </row>
    <row r="53" ht="13" customHeight="1">
      <c r="A53" s="60" t="inlineStr">
        <is>
          <t>Hydro</t>
        </is>
      </c>
      <c r="B53" s="60" t="n">
        <v>1001.1</v>
      </c>
      <c r="P53" s="34" t="inlineStr">
        <is>
          <t>AGUS 5</t>
        </is>
      </c>
      <c r="Q53" s="35" t="inlineStr">
        <is>
          <t>1,078</t>
        </is>
      </c>
      <c r="R53" s="35" t="inlineStr">
        <is>
          <t>2.80</t>
        </is>
      </c>
      <c r="S53" s="35" t="inlineStr"/>
      <c r="AD53" s="40" t="inlineStr">
        <is>
          <t>AGUS7</t>
        </is>
      </c>
      <c r="AE53" s="35" t="n">
        <v>54</v>
      </c>
      <c r="AF53" s="35" t="n">
        <v>0</v>
      </c>
      <c r="AG53" s="35" t="n">
        <v>0</v>
      </c>
    </row>
    <row r="54" ht="13" customHeight="1">
      <c r="A54" s="60" t="inlineStr">
        <is>
          <t>Coal Fired Thermal</t>
        </is>
      </c>
      <c r="B54" s="60" t="n">
        <v>210</v>
      </c>
      <c r="P54" s="46" t="inlineStr">
        <is>
          <t>AGUS 6</t>
        </is>
      </c>
      <c r="Q54" s="47" t="inlineStr">
        <is>
          <t>1,078</t>
        </is>
      </c>
      <c r="R54" s="47" t="inlineStr">
        <is>
          <t>3.20</t>
        </is>
      </c>
      <c r="S54" s="47" t="inlineStr"/>
      <c r="AG54" s="35" t="n">
        <v>0</v>
      </c>
    </row>
    <row r="55" ht="13" customHeight="1">
      <c r="P55" s="34" t="inlineStr">
        <is>
          <t>AGUS 7</t>
        </is>
      </c>
      <c r="Q55" s="35" t="inlineStr">
        <is>
          <t>1,078</t>
        </is>
      </c>
      <c r="R55" s="35" t="inlineStr">
        <is>
          <t>2.90</t>
        </is>
      </c>
      <c r="S55" s="35" t="inlineStr"/>
      <c r="AD55" s="40" t="inlineStr">
        <is>
          <t>PULANGI4</t>
        </is>
      </c>
      <c r="AE55" s="35" t="n">
        <v>255</v>
      </c>
      <c r="AF55" s="35" t="n">
        <v>0</v>
      </c>
      <c r="AG55" s="35" t="n">
        <v>0</v>
      </c>
    </row>
    <row r="56" ht="13" customHeight="1">
      <c r="F56" s="60" t="inlineStr">
        <is>
          <t>AGUS 1</t>
        </is>
      </c>
      <c r="G56" s="60" t="n">
        <v>0</v>
      </c>
      <c r="AG56" s="35" t="n">
        <v>0</v>
      </c>
    </row>
    <row r="57" ht="15" customHeight="1">
      <c r="F57" s="60" t="inlineStr">
        <is>
          <t>AGUS 2</t>
        </is>
      </c>
      <c r="G57" s="60" t="n">
        <v>0</v>
      </c>
    </row>
    <row r="58" ht="15" customHeight="1">
      <c r="F58" s="60" t="inlineStr">
        <is>
          <t>AGUS 4</t>
        </is>
      </c>
      <c r="G58" s="60" t="n">
        <v>0</v>
      </c>
    </row>
    <row r="59" ht="15" customHeight="1">
      <c r="F59" s="60" t="inlineStr">
        <is>
          <t>AGUS 5</t>
        </is>
      </c>
      <c r="G59" s="60" t="n">
        <v>0</v>
      </c>
    </row>
    <row r="60" ht="15" customHeight="1">
      <c r="F60" s="60" t="inlineStr">
        <is>
          <t>AGUS 6</t>
        </is>
      </c>
      <c r="G60" s="60" t="n">
        <v>0</v>
      </c>
    </row>
    <row r="61" ht="15" customHeight="1">
      <c r="F61" s="60" t="inlineStr">
        <is>
          <t>AGUS 7</t>
        </is>
      </c>
      <c r="G61" s="60" t="n">
        <v>0</v>
      </c>
    </row>
    <row r="62" ht="15" customHeight="1">
      <c r="F62" s="60" t="inlineStr">
        <is>
          <t>PULANGI IV</t>
        </is>
      </c>
      <c r="G62" s="60" t="n">
        <v>0</v>
      </c>
    </row>
    <row r="63" ht="15" customHeight="1"/>
    <row r="64" ht="15" customHeight="1"/>
    <row r="65" ht="18" customHeight="1">
      <c r="B65" s="61" t="inlineStr">
        <is>
          <t>■ Hydro     ■ Coal Fired Thermal</t>
        </is>
      </c>
    </row>
    <row r="66" ht="6" customHeight="1"/>
    <row r="67" ht="15" customHeight="1">
      <c r="A67" s="62" t="inlineStr">
        <is>
          <t>Note:</t>
        </is>
      </c>
    </row>
    <row r="68" ht="13.5" customHeight="1">
      <c r="A68" s="63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63" t="inlineStr">
        <is>
          <t>2. Available Capacity (AC) is the dependable capacity, modified for equipment limitations for any time.</t>
        </is>
      </c>
    </row>
    <row r="70" ht="13.5" customHeight="1">
      <c r="A70" s="63" t="inlineStr">
        <is>
          <t>3. The usual occurrence of Peak is at 1200H.</t>
        </is>
      </c>
    </row>
    <row r="71" ht="13.5" customHeight="1">
      <c r="A71" s="63" t="inlineStr">
        <is>
          <t>4. AGUS 5 HEP gate no. 2 clogged at 0.10m for Nawlach Pulp Inc. (NPI) plant water use.</t>
        </is>
      </c>
    </row>
    <row r="73" ht="15" customHeight="1">
      <c r="A73" s="64" t="inlineStr">
        <is>
          <t>MCFPP (STEAG)</t>
        </is>
      </c>
      <c r="B73" s="65" t="inlineStr">
        <is>
          <t>TYPE OF CONTI IPP OPERATOR END OF COOPERATION PER CONTRACTED INDICATIVE BID</t>
        </is>
      </c>
    </row>
    <row r="74" ht="15" customHeight="1">
      <c r="A74" s="66" t="inlineStr">
        <is>
          <t>MGPP</t>
        </is>
      </c>
      <c r="B74" s="67" t="inlineStr">
        <is>
          <t>BOT/IPPA</t>
        </is>
      </c>
      <c r="C74" s="67" t="inlineStr">
        <is>
          <t>STEAG State Pov</t>
        </is>
      </c>
      <c r="D74" s="67" t="inlineStr">
        <is>
          <t>16-Nov-31</t>
        </is>
      </c>
      <c r="E74" s="65" t="inlineStr">
        <is>
          <t>200.00 2017 (Subject to DOE's policy direction)</t>
        </is>
      </c>
    </row>
    <row r="75" ht="15" customHeight="1">
      <c r="B75" s="67" t="inlineStr">
        <is>
          <t>IPPA AA</t>
        </is>
      </c>
      <c r="C75" s="67" t="inlineStr">
        <is>
          <t>FDC</t>
        </is>
      </c>
      <c r="D75" s="67" t="inlineStr">
        <is>
          <t>11-Dec-17</t>
        </is>
      </c>
    </row>
    <row r="77" ht="13.5" customHeight="1">
      <c r="A77" s="68" t="inlineStr">
        <is>
          <t>Note:</t>
        </is>
      </c>
    </row>
    <row r="78" ht="12" customHeight="1">
      <c r="A78" s="65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5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5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5" t="inlineStr">
        <is>
          <t>4. AGUS 5 HEP gate no. 2 clogged at 0.10m for Nawlach Pulp Inc. (NPI) plant water use.</t>
        </is>
      </c>
    </row>
    <row r="82" ht="12" customHeight="1">
      <c r="A82" s="65" t="inlineStr">
        <is>
          <t>5. The usual occurrence of Peak is at 1800H.</t>
        </is>
      </c>
    </row>
    <row r="83" ht="12" customHeight="1">
      <c r="A83" s="65" t="inlineStr">
        <is>
          <t>6. Forecast inflow of Lake Lanao is stable and operating at Normal Stage.</t>
        </is>
      </c>
    </row>
    <row r="84" ht="12" customHeight="1">
      <c r="A84" s="65" t="inlineStr">
        <is>
          <t>7. Agus 6 HEP: 18cms of water spilled due to partially opened spillway gate no. 1.</t>
        </is>
      </c>
    </row>
    <row r="87" ht="18" customHeight="1">
      <c r="A87" s="69" t="inlineStr">
        <is>
          <t>1. Copy &amp; paste the data at "INPUT" sheet from NPC website.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6" t="n"/>
    </row>
    <row r="88" ht="18" customHeight="1">
      <c r="A88" s="69" t="inlineStr">
        <is>
          <t>2. Update record info in "INPUT" sheet (i.e. date, time, etc.).</t>
        </is>
      </c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6" t="n"/>
    </row>
    <row r="89" ht="18" customHeight="1">
      <c r="A89" s="69" t="inlineStr">
        <is>
          <t>3. Update worktable date at "TOSL" sheet.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6" t="n"/>
    </row>
    <row r="90" ht="18" customHeight="1">
      <c r="A90" s="69" t="inlineStr">
        <is>
          <t>4. Copy &amp; paste the data from "Report" worksheet to NPC website.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6" t="n"/>
    </row>
    <row r="93" ht="13.5" customHeight="1">
      <c r="A93" s="70" t="inlineStr">
        <is>
          <t>Prepared by:</t>
        </is>
      </c>
      <c r="D93" s="70" t="inlineStr">
        <is>
          <t>Checked and Reviewed by:</t>
        </is>
      </c>
      <c r="G93" s="70" t="inlineStr">
        <is>
          <t>Checked and Reviewed by:</t>
        </is>
      </c>
      <c r="K93" s="70" t="inlineStr">
        <is>
          <t>Approved by:</t>
        </is>
      </c>
    </row>
    <row r="94" ht="13.5" customHeight="1"/>
    <row r="95" ht="13.5" customHeight="1"/>
    <row r="96" ht="13.5" customHeight="1"/>
    <row r="97" ht="13.5" customHeight="1">
      <c r="A97" s="71" t="inlineStr">
        <is>
          <t>O.M. LAVA</t>
        </is>
      </c>
      <c r="D97" s="71" t="inlineStr">
        <is>
          <t>JMM MATA</t>
        </is>
      </c>
      <c r="G97" s="71" t="inlineStr">
        <is>
          <t>EL ADIONG</t>
        </is>
      </c>
      <c r="K97" s="71" t="inlineStr">
        <is>
          <t>C.C. AMIGABLE JR.</t>
        </is>
      </c>
    </row>
    <row r="98" ht="13.5" customHeight="1">
      <c r="A98" s="70" t="inlineStr">
        <is>
          <t>Prin. Engr. A, GPD</t>
        </is>
      </c>
      <c r="D98" s="70" t="inlineStr">
        <is>
          <t>Manager, GPD</t>
        </is>
      </c>
      <c r="G98" s="70" t="inlineStr">
        <is>
          <t>Acting Manager, GPD</t>
        </is>
      </c>
      <c r="K98" s="70" t="inlineStr">
        <is>
          <t>Dept. Manager, GPD</t>
        </is>
      </c>
    </row>
    <row r="99" ht="13.5" customHeight="1"/>
    <row r="100" ht="13.5" customHeight="1">
      <c r="A100" s="70" t="inlineStr">
        <is>
          <t>Prepared by:</t>
        </is>
      </c>
      <c r="D100" s="70" t="inlineStr">
        <is>
          <t>Checked and Reviewed by:</t>
        </is>
      </c>
      <c r="G100" s="70" t="inlineStr">
        <is>
          <t>Checked and Reviewed by:</t>
        </is>
      </c>
      <c r="K100" s="70" t="inlineStr">
        <is>
          <t>Approved by:</t>
        </is>
      </c>
    </row>
    <row r="101" ht="13.5" customHeight="1"/>
    <row r="102" ht="13.5" customHeight="1"/>
    <row r="103" ht="13.5" customHeight="1"/>
    <row r="104" ht="13.5" customHeight="1">
      <c r="A104" s="71" t="inlineStr">
        <is>
          <t>D.R.B. CAIRO</t>
        </is>
      </c>
      <c r="D104" s="71" t="inlineStr">
        <is>
          <t>JMM MATA</t>
        </is>
      </c>
      <c r="G104" s="71" t="inlineStr">
        <is>
          <t>EL ADIONG</t>
        </is>
      </c>
      <c r="K104" s="71" t="inlineStr">
        <is>
          <t>DB ESMADE JR.</t>
        </is>
      </c>
    </row>
    <row r="105" ht="13.5" customHeight="1">
      <c r="A105" s="70" t="inlineStr">
        <is>
          <t>Prin. Engr. B, GPD</t>
        </is>
      </c>
      <c r="D105" s="70" t="inlineStr">
        <is>
          <t>Manager, GPD</t>
        </is>
      </c>
      <c r="G105" s="70" t="inlineStr">
        <is>
          <t>OIC-Dept Manager, GPD</t>
        </is>
      </c>
      <c r="K105" s="70" t="inlineStr">
        <is>
          <t>Acting Dept. Manager, GPD</t>
        </is>
      </c>
    </row>
    <row r="109" ht="25" customHeight="1">
      <c r="A109" s="63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12" ht="15" customHeight="1">
      <c r="A112" s="60" t="inlineStr">
        <is>
          <t>AGUS 1</t>
        </is>
      </c>
      <c r="B112" s="60" t="n">
        <v>80</v>
      </c>
      <c r="C112" s="60" t="n">
        <v>80</v>
      </c>
      <c r="D112" s="60" t="n">
        <v>0</v>
      </c>
    </row>
    <row r="113" ht="15" customHeight="1">
      <c r="A113" s="60" t="inlineStr">
        <is>
          <t>AGUS 2</t>
        </is>
      </c>
      <c r="B113" s="60" t="n">
        <v>180</v>
      </c>
      <c r="C113" s="60" t="n">
        <v>180</v>
      </c>
      <c r="D113" s="60" t="n">
        <v>120</v>
      </c>
    </row>
    <row r="114" ht="15" customHeight="1">
      <c r="A114" s="60" t="inlineStr">
        <is>
          <t>AGUS 4</t>
        </is>
      </c>
      <c r="B114" s="60" t="n">
        <v>158.1</v>
      </c>
      <c r="C114" s="60" t="n">
        <v>158.1</v>
      </c>
      <c r="D114" s="60" t="n">
        <v>105.4</v>
      </c>
    </row>
    <row r="115" ht="15" customHeight="1">
      <c r="A115" s="60" t="inlineStr">
        <is>
          <t>AGUS 5</t>
        </is>
      </c>
      <c r="B115" s="60" t="n">
        <v>55</v>
      </c>
      <c r="C115" s="60" t="n">
        <v>55</v>
      </c>
      <c r="D115" s="60" t="n">
        <v>55</v>
      </c>
    </row>
    <row r="116" ht="15" customHeight="1">
      <c r="A116" s="60" t="inlineStr">
        <is>
          <t>AGUS 6</t>
        </is>
      </c>
      <c r="B116" s="60" t="n">
        <v>219</v>
      </c>
      <c r="C116" s="60" t="n">
        <v>219</v>
      </c>
      <c r="D116" s="60" t="n">
        <v>165</v>
      </c>
    </row>
    <row r="117" ht="15" customHeight="1">
      <c r="A117" s="60" t="inlineStr">
        <is>
          <t>AGUS 7</t>
        </is>
      </c>
      <c r="B117" s="60" t="n">
        <v>54</v>
      </c>
      <c r="C117" s="60" t="n">
        <v>54</v>
      </c>
      <c r="D117" s="60" t="n">
        <v>54</v>
      </c>
    </row>
    <row r="118" ht="15" customHeight="1">
      <c r="A118" s="60" t="inlineStr">
        <is>
          <t>PULANGI IV</t>
        </is>
      </c>
      <c r="B118" s="60" t="n">
        <v>255</v>
      </c>
      <c r="C118" s="60" t="n">
        <v>255</v>
      </c>
      <c r="D118" s="60" t="n">
        <v>215</v>
      </c>
    </row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9">
      <c r="A129" s="60" t="inlineStr">
        <is>
          <t>AGUS 1</t>
        </is>
      </c>
      <c r="B129" s="60" t="n">
        <v>80</v>
      </c>
      <c r="C129" s="60" t="n">
        <v>80</v>
      </c>
      <c r="D129" s="60" t="n">
        <v>0</v>
      </c>
    </row>
    <row r="130">
      <c r="A130" s="60" t="inlineStr">
        <is>
          <t>AGUS 2</t>
        </is>
      </c>
      <c r="B130" s="60" t="n">
        <v>180</v>
      </c>
      <c r="C130" s="60" t="n">
        <v>180</v>
      </c>
      <c r="D130" s="60" t="n">
        <v>0</v>
      </c>
    </row>
    <row r="131">
      <c r="A131" s="60" t="inlineStr">
        <is>
          <t>AGUS 4</t>
        </is>
      </c>
      <c r="B131" s="60" t="n">
        <v>158.1</v>
      </c>
      <c r="C131" s="60" t="n">
        <v>158.1</v>
      </c>
      <c r="D131" s="60" t="n">
        <v>0</v>
      </c>
    </row>
    <row r="132">
      <c r="A132" s="60" t="inlineStr">
        <is>
          <t>AGUS 5</t>
        </is>
      </c>
      <c r="B132" s="60" t="n">
        <v>55</v>
      </c>
      <c r="C132" s="60" t="n">
        <v>55</v>
      </c>
      <c r="D132" s="60" t="n">
        <v>0</v>
      </c>
    </row>
    <row r="133">
      <c r="A133" s="60" t="inlineStr">
        <is>
          <t>AGUS 6</t>
        </is>
      </c>
      <c r="B133" s="60" t="n">
        <v>219</v>
      </c>
      <c r="C133" s="60" t="n">
        <v>219</v>
      </c>
      <c r="D133" s="60" t="n">
        <v>0</v>
      </c>
    </row>
    <row r="134">
      <c r="A134" s="60" t="inlineStr">
        <is>
          <t>AGUS 7</t>
        </is>
      </c>
      <c r="B134" s="60" t="n">
        <v>54</v>
      </c>
      <c r="C134" s="60" t="n">
        <v>54</v>
      </c>
      <c r="D134" s="60" t="n">
        <v>0</v>
      </c>
    </row>
    <row r="135">
      <c r="A135" s="60" t="inlineStr">
        <is>
          <t>Pulangi4</t>
        </is>
      </c>
      <c r="B135" s="60" t="n">
        <v>255</v>
      </c>
      <c r="C135" s="60" t="n">
        <v>255</v>
      </c>
      <c r="D135" s="60" t="n">
        <v>0</v>
      </c>
    </row>
    <row r="136">
      <c r="A136" s="60" t="inlineStr">
        <is>
          <t>STEAG 1</t>
        </is>
      </c>
      <c r="B136" s="60" t="n">
        <v>116</v>
      </c>
      <c r="C136" s="60" t="n">
        <v>105</v>
      </c>
      <c r="D136" s="60" t="n">
        <v>0</v>
      </c>
    </row>
    <row r="137">
      <c r="A137" s="60" t="inlineStr">
        <is>
          <t>STEAG 2</t>
        </is>
      </c>
      <c r="B137" s="60" t="n">
        <v>116</v>
      </c>
      <c r="C137" s="60" t="n">
        <v>105</v>
      </c>
      <c r="D137" s="60" t="n">
        <v>0</v>
      </c>
    </row>
    <row r="138">
      <c r="A138" s="60" t="inlineStr">
        <is>
          <t>10-Jan-25</t>
        </is>
      </c>
      <c r="B138" s="60" t="n">
        <v>0</v>
      </c>
      <c r="C138" s="60" t="n">
        <v>0</v>
      </c>
      <c r="D138" s="60" t="n">
        <v>0</v>
      </c>
    </row>
    <row r="139">
      <c r="A139" s="60" t="inlineStr">
        <is>
          <t>11-Jan-25</t>
        </is>
      </c>
      <c r="B139" s="60" t="n">
        <v>0</v>
      </c>
      <c r="C139" s="60" t="n">
        <v>0</v>
      </c>
      <c r="D139" s="60" t="n">
        <v>0</v>
      </c>
    </row>
  </sheetData>
  <mergeCells count="53">
    <mergeCell ref="A9:N9"/>
    <mergeCell ref="A83:N83"/>
    <mergeCell ref="P47:S47"/>
    <mergeCell ref="P13:S13"/>
    <mergeCell ref="A82:N82"/>
    <mergeCell ref="R19:S19"/>
    <mergeCell ref="AH31:AJ31"/>
    <mergeCell ref="AD14:AH14"/>
    <mergeCell ref="R14:S14"/>
    <mergeCell ref="AH34:AJ34"/>
    <mergeCell ref="A88:N88"/>
    <mergeCell ref="A70:N70"/>
    <mergeCell ref="A79:N79"/>
    <mergeCell ref="AD13:AH13"/>
    <mergeCell ref="R16:S16"/>
    <mergeCell ref="AH42:AI42"/>
    <mergeCell ref="G13:G16"/>
    <mergeCell ref="A69:N69"/>
    <mergeCell ref="A87:N87"/>
    <mergeCell ref="P45:S45"/>
    <mergeCell ref="R15:S15"/>
    <mergeCell ref="A78:N78"/>
    <mergeCell ref="P35:S35"/>
    <mergeCell ref="A90:N90"/>
    <mergeCell ref="B65:D65"/>
    <mergeCell ref="AH44:AI44"/>
    <mergeCell ref="A46:N46"/>
    <mergeCell ref="A84:N84"/>
    <mergeCell ref="E74:F74"/>
    <mergeCell ref="A89:N89"/>
    <mergeCell ref="R21:S21"/>
    <mergeCell ref="A80:N80"/>
    <mergeCell ref="B13:B16"/>
    <mergeCell ref="A3:N3"/>
    <mergeCell ref="D13:D16"/>
    <mergeCell ref="F13:F16"/>
    <mergeCell ref="P44:S44"/>
    <mergeCell ref="R20:S20"/>
    <mergeCell ref="H13:N16"/>
    <mergeCell ref="A2:N2"/>
    <mergeCell ref="P34:S34"/>
    <mergeCell ref="A71:N71"/>
    <mergeCell ref="R17:S17"/>
    <mergeCell ref="A13:A16"/>
    <mergeCell ref="A109:H109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2026-03-12T07:52:09Z</dcterms:created>
  <dcterms:modified xsi:type="dcterms:W3CDTF">2026-03-12T07:52:09Z</dcterms:modified>
</cp:coreProperties>
</file>